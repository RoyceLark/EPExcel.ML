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EPExcel.ML" lastEdited="7" lowestEdited="7" rupBuild="22228"/>
  <workbookPr date1904="0" showInkAnnotation="0" autoCompressPictures="0"/>
  <bookViews>
    <workbookView xWindow="0" yWindow="0" windowWidth="14400" windowHeight="8640" tabRatio="600" firstSheet="0" activeTab="0" showHorizontalScroll="1" showVerticalScroll="1" showSheetTabs="1" visibility="visible"/>
  </bookViews>
  <sheets>
    <sheet name="Sales Report" sheetId="1" r:id="rId1"/>
  </sheets>
  <calcPr calcId="191028" fullCalcOnLoad="0" calcMode="automatic" iterate="0" iterateCount="100" iterateDelta="0.001"/>
</workbook>
</file>

<file path=xl/sharedStrings.xml><?xml version="1.0" encoding="utf-8"?>
<sst xmlns="http://schemas.openxmlformats.org/spreadsheetml/2006/main" count="18" uniqueCount="18">
  <si>
    <t>Revenue</t>
  </si>
  <si>
    <t>Jun</t>
  </si>
  <si>
    <t>Sep</t>
  </si>
  <si>
    <t>Expenses</t>
  </si>
  <si>
    <t>Aug</t>
  </si>
  <si>
    <t>Feb</t>
  </si>
  <si>
    <t>Profit</t>
  </si>
  <si>
    <t>Month</t>
  </si>
  <si>
    <t>Margin %</t>
  </si>
  <si>
    <t>Oct</t>
  </si>
  <si>
    <t>Nov</t>
  </si>
  <si>
    <t>May</t>
  </si>
  <si>
    <t>Jul</t>
  </si>
  <si>
    <t>Mar</t>
  </si>
  <si>
    <t>Dec</t>
  </si>
  <si>
    <t>Apr</t>
  </si>
  <si>
    <t>Jan</t>
  </si>
  <si>
    <t>TOTAL</t>
  </si>
</sst>
</file>

<file path=xl/styles.xml><?xml version="1.0" encoding="utf-8"?>
<styleSheet xmlns="http://schemas.openxmlformats.org/spreadsheetml/2006/main">
  <fonts count="8">
    <font>
      <sz val="1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EEF2FF"/>
      </patternFill>
    </fill>
    <fill>
      <patternFill patternType="solid">
        <fgColor rgb="FF1F4E79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0" applyFill="0" applyBorder="0" applyAlignment="0"/>
    <xf numFmtId="0" fontId="2" fillId="0" borderId="0" xfId="0" applyFont="1" applyFill="0" applyBorder="0" applyAlignment="0"/>
    <xf numFmtId="0" fontId="3" fillId="2" borderId="0" xfId="0" applyFont="1" applyFill="1" applyBorder="0" applyAlignment="0"/>
    <xf numFmtId="0" fontId="4" fillId="3" borderId="0" xfId="0" applyFont="1" applyFill="1" applyBorder="0" applyAlignment="0"/>
    <xf numFmtId="0" fontId="5" fillId="4" borderId="0" xfId="0" applyFont="0" applyFill="1" applyBorder="0" applyAlignment="0"/>
    <xf numFmtId="0" fontId="6" fillId="5" borderId="0" xfId="0" applyFont="1" applyFill="1" applyBorder="0" applyAlignment="0"/>
    <xf numFmtId="0" fontId="7" fillId="6" borderId="0" xfId="0" applyFont="1" applyFill="1" applyBorder="0" applyAlignment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14"/>
  <sheetViews>
    <sheetView workbookViewId="0" showGridLines="1" showRowColHeaders="1" zoomScale="100">
      <selection activeCell="A1" sqref="A1"/>
    </sheetView>
  </sheetViews>
  <sheetFormatPr defaultRowHeight="15" defaultColWidth="64" customHeight="1"/>
  <cols>
    <col min="1" max="1" width="12" customWidth="1"/>
    <col min="2" max="2" width="14" customWidth="1"/>
    <col min="3" max="3" width="14" customWidth="1"/>
    <col min="4" max="4" width="14" customWidth="1"/>
    <col min="5" max="5" width="12" customWidth="1"/>
  </cols>
  <sheetData>
    <row r="1">
      <c r="A1" s="3" t="s">
        <v>7</v>
      </c>
      <c r="B1" s="3" t="s">
        <v>0</v>
      </c>
      <c r="C1" s="3" t="s">
        <v>3</v>
      </c>
      <c r="D1" s="3" t="s">
        <v>6</v>
      </c>
      <c r="E1" s="3" t="s">
        <v>8</v>
      </c>
    </row>
    <row r="2">
      <c r="A2" s="4" t="s">
        <v>16</v>
      </c>
      <c r="B2" s="4">
        <v>63405.32</v>
      </c>
      <c r="C2" s="4">
        <v>19227.22</v>
      </c>
      <c r="D2" s="4" t="str">
        <f>=B2-C2</f>
        <v>44178.100000000006</v>
      </c>
      <c r="E2" s="4" t="str">
        <f>=IF(B2&gt;0,D2/B2,0)</f>
        <v>0.696756991369179</v>
      </c>
    </row>
    <row r="3">
      <c r="A3" t="s">
        <v>5</v>
      </c>
      <c r="B3">
        <v>36275.91</v>
      </c>
      <c r="C3">
        <v>30682.93</v>
      </c>
      <c r="D3" t="str">
        <f>=B3-C3</f>
        <v>5592.98</v>
      </c>
      <c r="E3" t="str">
        <f>=IF(B3&gt;0,D3/B3,0)</f>
        <v>0.154178902748408</v>
      </c>
    </row>
    <row r="4">
      <c r="A4" s="4" t="s">
        <v>13</v>
      </c>
      <c r="B4" s="4">
        <v>38421.71</v>
      </c>
      <c r="C4" s="4">
        <v>22877.78</v>
      </c>
      <c r="D4" s="4" t="str">
        <f>=B4-C4</f>
        <v>15543.929999999998</v>
      </c>
      <c r="E4" s="4" t="str">
        <f>=IF(B4&gt;0,D4/B4,0)</f>
        <v>0.40456111922139804</v>
      </c>
    </row>
    <row r="5">
      <c r="A5" t="s">
        <v>15</v>
      </c>
      <c r="B5">
        <v>66220.42</v>
      </c>
      <c r="C5">
        <v>30387.68</v>
      </c>
      <c r="D5" t="str">
        <f>=B5-C5</f>
        <v>35832.74</v>
      </c>
      <c r="E5" t="str">
        <f>=IF(B5&gt;0,D5/B5,0)</f>
        <v>0.541113149086037</v>
      </c>
    </row>
    <row r="6">
      <c r="A6" s="4" t="s">
        <v>11</v>
      </c>
      <c r="B6" s="4">
        <v>38682.56</v>
      </c>
      <c r="C6" s="4">
        <v>37837.52</v>
      </c>
      <c r="D6" s="4" t="str">
        <f>=B6-C6</f>
        <v>845.0400000000011</v>
      </c>
      <c r="E6" s="4" t="str">
        <f>=IF(B6&gt;0,D6/B6,0)</f>
        <v>0.0218455035033876</v>
      </c>
    </row>
    <row r="7">
      <c r="A7" t="s">
        <v>1</v>
      </c>
      <c r="B7">
        <v>41729.42</v>
      </c>
      <c r="C7">
        <v>22719.64</v>
      </c>
      <c r="D7" t="str">
        <f>=B7-C7</f>
        <v>19009.78</v>
      </c>
      <c r="E7" t="str">
        <f>=IF(B7&gt;0,D7/B7,0)</f>
        <v>0.45554862732336104</v>
      </c>
    </row>
    <row r="8">
      <c r="A8" s="4" t="s">
        <v>12</v>
      </c>
      <c r="B8" s="4">
        <v>55280.18</v>
      </c>
      <c r="C8" s="4">
        <v>24607</v>
      </c>
      <c r="D8" s="4" t="str">
        <f>=B8-C8</f>
        <v>30673.18</v>
      </c>
      <c r="E8" s="4" t="str">
        <f>=IF(B8&gt;0,D8/B8,0)</f>
        <v>0.554867585452869</v>
      </c>
    </row>
    <row r="9">
      <c r="A9" t="s">
        <v>4</v>
      </c>
      <c r="B9">
        <v>49048.48</v>
      </c>
      <c r="C9">
        <v>22807.34</v>
      </c>
      <c r="D9" t="str">
        <f>=B9-C9</f>
        <v>26241.14</v>
      </c>
      <c r="E9" t="str">
        <f>=IF(B9&gt;0,D9/B9,0)</f>
        <v>0.5350041428399</v>
      </c>
    </row>
    <row r="10">
      <c r="A10" s="4" t="s">
        <v>2</v>
      </c>
      <c r="B10" s="4">
        <v>55872.55</v>
      </c>
      <c r="C10" s="4">
        <v>16059.56</v>
      </c>
      <c r="D10" s="4" t="str">
        <f>=B10-C10</f>
        <v>39812.99</v>
      </c>
      <c r="E10" s="4" t="str">
        <f>=IF(B10&gt;0,D10/B10,0)</f>
        <v>0.712567978372206</v>
      </c>
    </row>
    <row r="11">
      <c r="A11" t="s">
        <v>9</v>
      </c>
      <c r="B11">
        <v>70706.87</v>
      </c>
      <c r="C11">
        <v>32315.91</v>
      </c>
      <c r="D11" t="str">
        <f>=B11-C11</f>
        <v>38390.96</v>
      </c>
      <c r="E11" t="str">
        <f>=IF(B11&gt;0,D11/B11,0)</f>
        <v>0.542959404086194</v>
      </c>
    </row>
    <row r="12">
      <c r="A12" s="4" t="s">
        <v>10</v>
      </c>
      <c r="B12" s="4">
        <v>49873.53</v>
      </c>
      <c r="C12" s="4">
        <v>19565.79</v>
      </c>
      <c r="D12" s="4" t="str">
        <f>=B12-C12</f>
        <v>30307.74</v>
      </c>
      <c r="E12" s="4" t="str">
        <f>=IF(B12&gt;0,D12/B12,0)</f>
        <v>0.607691895881443</v>
      </c>
    </row>
    <row r="13">
      <c r="A13" t="s">
        <v>14</v>
      </c>
      <c r="B13">
        <v>34505.63</v>
      </c>
      <c r="C13">
        <v>36154.56</v>
      </c>
      <c r="D13" t="str">
        <f>=B13-C13</f>
        <v>-1648.93</v>
      </c>
      <c r="E13" t="str">
        <f>=IF(B13&gt;0,D13/B13,0)</f>
        <v>-0.0477872741346847</v>
      </c>
    </row>
    <row r="14">
      <c r="A14" s="6" t="s">
        <v>17</v>
      </c>
      <c r="B14" s="6" t="str">
        <f>=SUM(B2:B13)</f>
        <v>600022.58</v>
      </c>
      <c r="C14" s="6" t="str">
        <f>=SUM(C2:C13)</f>
        <v>315242.93</v>
      </c>
      <c r="D14" s="6" t="str">
        <f>=SUM(D2:D13)</f>
        <v>284779.64999999997</v>
      </c>
      <c r="E14" s="6" t="str">
        <f>=IF(B14&gt;0,D14/B14,0)</f>
        <v>0.47461488865969</v>
      </c>
    </row>
  </sheetData>
  <pageSetup paperSize="9" orientation="default" copies="1" scale="100" fitToWidth="1" fitToHeight="0" r:id="rId1"/>
</worksheet>
</file>