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EPExcel.ML" lastEdited="7" lowestEdited="7" rupBuild="22228"/>
  <workbookPr date1904="0" showInkAnnotation="0" autoCompressPictures="0"/>
  <bookViews>
    <workbookView xWindow="0" yWindow="0" windowWidth="14400" windowHeight="8640" tabRatio="600" firstSheet="0" activeTab="0" showHorizontalScroll="1" showVerticalScroll="1" showSheetTabs="1" visibility="visible"/>
  </bookViews>
  <sheets>
    <sheet name="Formulas" sheetId="1" r:id="rId1"/>
  </sheets>
  <calcPr calcId="191028" fullCalcOnLoad="0" calcMode="automatic" iterate="0" iterateCount="100" iterateDelta="0.001"/>
</workbook>
</file>

<file path=xl/sharedStrings.xml><?xml version="1.0" encoding="utf-8"?>
<sst xmlns="http://schemas.openxmlformats.org/spreadsheetml/2006/main" count="43" uniqueCount="43">
  <si>
    <t>Hardware</t>
  </si>
  <si>
    <t>Category</t>
  </si>
  <si>
    <t>HW</t>
  </si>
  <si>
    <t>XLOOKUP:</t>
  </si>
  <si>
    <t>SW</t>
  </si>
  <si>
    <t>East</t>
  </si>
  <si>
    <t>Days until year end:</t>
  </si>
  <si>
    <t>Software Products</t>
  </si>
  <si>
    <t>Software</t>
  </si>
  <si>
    <t>Month</t>
  </si>
  <si>
    <t>West</t>
  </si>
  <si>
    <t>North</t>
  </si>
  <si>
    <t>Std Dev:</t>
  </si>
  <si>
    <t>Services</t>
  </si>
  <si>
    <t>Amount</t>
  </si>
  <si>
    <t>Feb</t>
  </si>
  <si>
    <t>LINEST slope:</t>
  </si>
  <si>
    <t>Count Hardware &gt; 15000:</t>
  </si>
  <si>
    <t>Region</t>
  </si>
  <si>
    <t>Jan</t>
  </si>
  <si>
    <t>NORM.INV(0.95):</t>
  </si>
  <si>
    <t>Mar</t>
  </si>
  <si>
    <t>Hardware Products</t>
  </si>
  <si>
    <t>SUMIFS examples:</t>
  </si>
  <si>
    <t>Date functions:</t>
  </si>
  <si>
    <t>Custom LAMBDA (TAX function):</t>
  </si>
  <si>
    <t>South</t>
  </si>
  <si>
    <t>Lookup 'HW':</t>
  </si>
  <si>
    <t>North Hardware total:</t>
  </si>
  <si>
    <t>SVC</t>
  </si>
  <si>
    <t>Average amount:</t>
  </si>
  <si>
    <t>Feb Hardware:</t>
  </si>
  <si>
    <t>WORKDAY +30:</t>
  </si>
  <si>
    <t>Statistics:</t>
  </si>
  <si>
    <t>Today:</t>
  </si>
  <si>
    <t>Tax on North Hardware:</t>
  </si>
  <si>
    <t>Lookup 'SW':</t>
  </si>
  <si>
    <t>Description</t>
  </si>
  <si>
    <t>All Software (any region):</t>
  </si>
  <si>
    <t>Count North rows:</t>
  </si>
  <si>
    <t>Code</t>
  </si>
  <si>
    <t>Tax on 50000 @ 18%:</t>
  </si>
  <si>
    <t>COUNTIFS examples:</t>
  </si>
</sst>
</file>

<file path=xl/styles.xml><?xml version="1.0" encoding="utf-8"?>
<styleSheet xmlns="http://schemas.openxmlformats.org/spreadsheetml/2006/main">
  <fonts count="3">
    <font>
      <sz val="11"/>
      <name val="Calibri"/>
      <family val="2"/>
      <scheme val="minor"/>
    </font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0" applyFill="0" applyBorder="0" applyAlignment="0"/>
    <xf numFmtId="0" fontId="2" fillId="0" borderId="0" xfId="0" applyFont="1" applyFill="0" applyBorder="0" applyAlignment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E38"/>
  <sheetViews>
    <sheetView workbookViewId="0" showGridLines="1" showRowColHeaders="1" zoomScale="100">
      <selection activeCell="A1" sqref="A1"/>
    </sheetView>
  </sheetViews>
  <sheetFormatPr defaultRowHeight="15" defaultColWidth="64" customHeight="1"/>
  <cols>
    <col min="1" max="1" width="26" customWidth="1"/>
    <col min="2" max="2" width="20" customWidth="1"/>
  </cols>
  <sheetData>
    <row r="1">
      <c r="A1" t="s">
        <v>18</v>
      </c>
      <c r="B1" t="s">
        <v>1</v>
      </c>
      <c r="C1" t="s">
        <v>9</v>
      </c>
      <c r="D1" t="s">
        <v>14</v>
      </c>
    </row>
    <row r="2">
      <c r="A2" t="s">
        <v>11</v>
      </c>
      <c r="B2" t="s">
        <v>0</v>
      </c>
      <c r="C2" t="s">
        <v>19</v>
      </c>
      <c r="D2">
        <v>15000</v>
      </c>
    </row>
    <row r="3">
      <c r="A3" t="s">
        <v>11</v>
      </c>
      <c r="B3" t="s">
        <v>8</v>
      </c>
      <c r="C3" t="s">
        <v>19</v>
      </c>
      <c r="D3">
        <v>8000</v>
      </c>
    </row>
    <row r="4">
      <c r="A4" t="s">
        <v>26</v>
      </c>
      <c r="B4" t="s">
        <v>0</v>
      </c>
      <c r="C4" t="s">
        <v>19</v>
      </c>
      <c r="D4">
        <v>12000</v>
      </c>
    </row>
    <row r="5">
      <c r="A5" t="s">
        <v>26</v>
      </c>
      <c r="B5" t="s">
        <v>8</v>
      </c>
      <c r="C5" t="s">
        <v>15</v>
      </c>
      <c r="D5">
        <v>9500</v>
      </c>
    </row>
    <row r="6">
      <c r="A6" t="s">
        <v>5</v>
      </c>
      <c r="B6" t="s">
        <v>0</v>
      </c>
      <c r="C6" t="s">
        <v>15</v>
      </c>
      <c r="D6">
        <v>18000</v>
      </c>
    </row>
    <row r="7">
      <c r="A7" t="s">
        <v>5</v>
      </c>
      <c r="B7" t="s">
        <v>8</v>
      </c>
      <c r="C7" t="s">
        <v>15</v>
      </c>
      <c r="D7">
        <v>7000</v>
      </c>
    </row>
    <row r="8">
      <c r="A8" t="s">
        <v>11</v>
      </c>
      <c r="B8" t="s">
        <v>0</v>
      </c>
      <c r="C8" t="s">
        <v>21</v>
      </c>
      <c r="D8">
        <v>22000</v>
      </c>
    </row>
    <row r="9">
      <c r="A9" t="s">
        <v>10</v>
      </c>
      <c r="B9" t="s">
        <v>8</v>
      </c>
      <c r="C9" t="s">
        <v>21</v>
      </c>
      <c r="D9">
        <v>6500</v>
      </c>
    </row>
    <row r="12">
      <c r="A12" s="1" t="s">
        <v>23</v>
      </c>
    </row>
    <row r="13">
      <c r="A13" t="s">
        <v>28</v>
      </c>
      <c r="B13" t="str">
        <f>=SUMIFS(D2:D9,A2:A9,"North",B2:B9,"Hardware")</f>
        <v>37000</v>
      </c>
    </row>
    <row r="14">
      <c r="A14" t="s">
        <v>38</v>
      </c>
      <c r="B14" t="str">
        <f>=SUMIFS(D2:D9,B2:B9,"Software")</f>
        <v>31000</v>
      </c>
    </row>
    <row r="15">
      <c r="A15" t="s">
        <v>31</v>
      </c>
      <c r="B15" t="str">
        <f>=SUMIFS(D2:D9,C2:C9,"Feb",B2:B9,"Hardware")</f>
        <v>18000</v>
      </c>
    </row>
    <row r="17">
      <c r="A17" s="1" t="s">
        <v>42</v>
      </c>
    </row>
    <row r="18">
      <c r="A18" t="s">
        <v>39</v>
      </c>
      <c r="B18" t="str">
        <f>=COUNTIFS(A2:A9,"North")</f>
        <v>3</v>
      </c>
    </row>
    <row r="19">
      <c r="A19" t="s">
        <v>17</v>
      </c>
      <c r="B19" t="str">
        <f>=COUNTIFS(B2:B9,"Hardware",D2:D9,"&gt;15000")</f>
        <v>2</v>
      </c>
    </row>
    <row r="21">
      <c r="A21" s="1" t="s">
        <v>3</v>
      </c>
    </row>
    <row r="22">
      <c r="A22" t="s">
        <v>36</v>
      </c>
      <c r="B22" t="str">
        <f>=XLOOKUP("SW",D23:D25,E23:E25,"Not Found")</f>
      </c>
      <c r="D22" t="s">
        <v>40</v>
      </c>
      <c r="E22" t="s">
        <v>37</v>
      </c>
    </row>
    <row r="23">
      <c r="A23" t="s">
        <v>27</v>
      </c>
      <c r="B23" t="str">
        <f>=XLOOKUP("HW",D23:D25,E23:E25,"Not Found")</f>
      </c>
      <c r="D23" t="s">
        <v>2</v>
      </c>
      <c r="E23" t="s">
        <v>22</v>
      </c>
    </row>
    <row r="24">
      <c r="D24" t="s">
        <v>4</v>
      </c>
      <c r="E24" t="s">
        <v>7</v>
      </c>
    </row>
    <row r="25">
      <c r="A25" s="1" t="s">
        <v>33</v>
      </c>
      <c r="D25" t="s">
        <v>29</v>
      </c>
      <c r="E25" t="s">
        <v>13</v>
      </c>
    </row>
    <row r="26">
      <c r="A26" t="s">
        <v>30</v>
      </c>
      <c r="B26" t="str">
        <f>=AVERAGE(D2:D9)</f>
        <v>12250</v>
      </c>
    </row>
    <row r="27">
      <c r="A27" t="s">
        <v>12</v>
      </c>
      <c r="B27" t="str">
        <f>=STDEV(D2:D9)</f>
        <v>5631.5438126934405</v>
      </c>
    </row>
    <row r="28">
      <c r="A28" t="s">
        <v>20</v>
      </c>
      <c r="B28" t="str">
        <f>=NORM.INV(0.95,AVERAGE(D2:D9),STDEV(D2:D9))</f>
        <v>2986.93405689963</v>
      </c>
    </row>
    <row r="29">
      <c r="A29" t="s">
        <v>16</v>
      </c>
      <c r="B29" t="str">
        <f>=INDEX(LINEST(D2:D9,ROW(D2:D9)-1,TRUE,TRUE),1,1)</f>
      </c>
    </row>
    <row r="31">
      <c r="A31" s="1" t="s">
        <v>24</v>
      </c>
    </row>
    <row r="32">
      <c r="A32" t="s">
        <v>34</v>
      </c>
      <c r="B32" t="str">
        <f>=TODAY()</f>
        <v>46106</v>
      </c>
    </row>
    <row r="33">
      <c r="A33" t="s">
        <v>6</v>
      </c>
      <c r="B33" t="str">
        <f>=DATE(YEAR(TODAY()),12,31)-TODAY()</f>
        <v>281</v>
      </c>
    </row>
    <row r="34">
      <c r="A34" t="s">
        <v>32</v>
      </c>
      <c r="B34" t="str">
        <f>=WORKDAY(TODAY(),30)</f>
        <v>46148</v>
      </c>
    </row>
    <row r="36">
      <c r="A36" s="1" t="s">
        <v>25</v>
      </c>
    </row>
    <row r="37">
      <c r="A37" t="s">
        <v>41</v>
      </c>
      <c r="B37" t="str">
        <f>=TAX(50000, 0.18)</f>
        <v>9000</v>
      </c>
    </row>
    <row r="38">
      <c r="A38" t="s">
        <v>35</v>
      </c>
      <c r="B38" t="str">
        <f>=TAX(B13, 0.18)</f>
        <v>6660</v>
      </c>
    </row>
  </sheetData>
  <pageSetup paperSize="9" orientation="default" copies="1" scale="100" fitToWidth="1" fitToHeight="0" r:id="rId1"/>
</worksheet>
</file>